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T Santa Quitéria\Desktop\"/>
    </mc:Choice>
  </mc:AlternateContent>
  <xr:revisionPtr revIDLastSave="0" documentId="8_{1F725E2F-B90D-488A-94F8-7EFE0FE1AB2D}" xr6:coauthVersionLast="47" xr6:coauthVersionMax="47" xr10:uidLastSave="{00000000-0000-0000-0000-000000000000}"/>
  <bookViews>
    <workbookView xWindow="-108" yWindow="-108" windowWidth="23256" windowHeight="12696" activeTab="3" xr2:uid="{BA20C04D-757B-43FA-A7F1-77B8E657076B}"/>
  </bookViews>
  <sheets>
    <sheet name="Formula SE" sheetId="1" r:id="rId1"/>
    <sheet name="Formula somase" sheetId="2" r:id="rId2"/>
    <sheet name="Porcentagem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C2" i="3"/>
  <c r="C3" i="3"/>
  <c r="C4" i="3"/>
  <c r="C5" i="3"/>
  <c r="C6" i="3"/>
  <c r="E2" i="2"/>
  <c r="G3" i="1"/>
  <c r="G4" i="1"/>
  <c r="F2" i="1"/>
  <c r="G2" i="1" s="1"/>
  <c r="F3" i="1"/>
  <c r="F4" i="1"/>
</calcChain>
</file>

<file path=xl/sharedStrings.xml><?xml version="1.0" encoding="utf-8"?>
<sst xmlns="http://schemas.openxmlformats.org/spreadsheetml/2006/main" count="50" uniqueCount="25">
  <si>
    <t>Nome</t>
  </si>
  <si>
    <t>Notas_1</t>
  </si>
  <si>
    <t>Notas_2</t>
  </si>
  <si>
    <t>Notas_3</t>
  </si>
  <si>
    <t>Notas_4</t>
  </si>
  <si>
    <t>Média</t>
  </si>
  <si>
    <t>Situação</t>
  </si>
  <si>
    <t>Maria</t>
  </si>
  <si>
    <t>João</t>
  </si>
  <si>
    <t>José</t>
  </si>
  <si>
    <t>Produto</t>
  </si>
  <si>
    <t>Estado</t>
  </si>
  <si>
    <t xml:space="preserve">Valor </t>
  </si>
  <si>
    <t xml:space="preserve">Short </t>
  </si>
  <si>
    <t>Calça</t>
  </si>
  <si>
    <t>Camiseta</t>
  </si>
  <si>
    <t>CE</t>
  </si>
  <si>
    <t>SP</t>
  </si>
  <si>
    <t>RJ</t>
  </si>
  <si>
    <t>Valor do desconto</t>
  </si>
  <si>
    <t>Preço</t>
  </si>
  <si>
    <t>Preço co desconto</t>
  </si>
  <si>
    <t>Janeiro</t>
  </si>
  <si>
    <t>Fevereiro</t>
  </si>
  <si>
    <t>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</si>
</sst>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2" fillId="2" borderId="0" xfId="0" applyFont="1" applyFill="1"/>
    <xf numFmtId="0" fontId="1" fillId="3" borderId="0" xfId="0" applyFont="1" applyFill="1"/>
    <xf numFmtId="44" fontId="0" fillId="0" borderId="0" xfId="0" applyNumberFormat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Planilha4!$A$2</c:f>
              <c:strCache>
                <c:ptCount val="1"/>
                <c:pt idx="0">
                  <c:v>Short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Planilha4!$B$1:$D$1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Planilha4!$B$2:$D$2</c:f>
              <c:numCache>
                <c:formatCode>_("R$"* #,##0.00_);_("R$"* \(#,##0.00\);_("R$"* "-"??_);_(@_)</c:formatCode>
                <c:ptCount val="3"/>
                <c:pt idx="0">
                  <c:v>10</c:v>
                </c:pt>
                <c:pt idx="1">
                  <c:v>60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A-4475-86B7-DAED905F0955}"/>
            </c:ext>
          </c:extLst>
        </c:ser>
        <c:ser>
          <c:idx val="1"/>
          <c:order val="1"/>
          <c:tx>
            <c:strRef>
              <c:f>Planilha4!$A$3</c:f>
              <c:strCache>
                <c:ptCount val="1"/>
                <c:pt idx="0">
                  <c:v>Calça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Planilha4!$B$1:$D$1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Planilha4!$B$3:$D$3</c:f>
              <c:numCache>
                <c:formatCode>_("R$"* #,##0.00_);_("R$"* \(#,##0.00\);_("R$"* "-"??_);_(@_)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A-4475-86B7-DAED905F0955}"/>
            </c:ext>
          </c:extLst>
        </c:ser>
        <c:ser>
          <c:idx val="2"/>
          <c:order val="2"/>
          <c:tx>
            <c:strRef>
              <c:f>Planilha4!$A$4</c:f>
              <c:strCache>
                <c:ptCount val="1"/>
                <c:pt idx="0">
                  <c:v>Camiseta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Planilha4!$B$1:$D$1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Planilha4!$B$4:$D$4</c:f>
              <c:numCache>
                <c:formatCode>_("R$"* #,##0.00_);_("R$"* \(#,##0.00\);_("R$"* "-"??_);_(@_)</c:formatCode>
                <c:ptCount val="3"/>
                <c:pt idx="0">
                  <c:v>30</c:v>
                </c:pt>
                <c:pt idx="1">
                  <c:v>30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1A-4475-86B7-DAED905F0955}"/>
            </c:ext>
          </c:extLst>
        </c:ser>
        <c:ser>
          <c:idx val="3"/>
          <c:order val="3"/>
          <c:tx>
            <c:strRef>
              <c:f>Planilha4!$A$5</c:f>
              <c:strCache>
                <c:ptCount val="1"/>
                <c:pt idx="0">
                  <c:v>Short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Planilha4!$B$1:$D$1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Planilha4!$B$5:$D$5</c:f>
              <c:numCache>
                <c:formatCode>_("R$"* #,##0.00_);_("R$"* \(#,##0.00\);_("R$"* "-"??_);_(@_)</c:formatCode>
                <c:ptCount val="3"/>
                <c:pt idx="0">
                  <c:v>40</c:v>
                </c:pt>
                <c:pt idx="1">
                  <c:v>40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1A-4475-86B7-DAED905F0955}"/>
            </c:ext>
          </c:extLst>
        </c:ser>
        <c:ser>
          <c:idx val="4"/>
          <c:order val="4"/>
          <c:tx>
            <c:strRef>
              <c:f>Planilha4!$A$6</c:f>
              <c:strCache>
                <c:ptCount val="1"/>
                <c:pt idx="0">
                  <c:v>Calça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Planilha4!$B$1:$D$1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Planilha4!$B$6:$D$6</c:f>
              <c:numCache>
                <c:formatCode>_("R$"* #,##0.00_);_("R$"* \(#,##0.00\);_("R$"* "-"??_);_(@_)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1A-4475-86B7-DAED905F0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36782143"/>
        <c:axId val="2136777343"/>
        <c:axId val="0"/>
      </c:bar3DChart>
      <c:catAx>
        <c:axId val="213678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6777343"/>
        <c:crosses val="autoZero"/>
        <c:auto val="1"/>
        <c:lblAlgn val="ctr"/>
        <c:lblOffset val="100"/>
        <c:noMultiLvlLbl val="0"/>
      </c:catAx>
      <c:valAx>
        <c:axId val="213677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678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333333333333329E-2"/>
          <c:y val="0.13412037037037036"/>
          <c:w val="0.78209230096237969"/>
          <c:h val="0.75476851851851856"/>
        </c:manualLayout>
      </c:layout>
      <c:pie3DChart>
        <c:varyColors val="1"/>
        <c:ser>
          <c:idx val="0"/>
          <c:order val="0"/>
          <c:tx>
            <c:strRef>
              <c:f>Planilha4!$B$1</c:f>
              <c:strCache>
                <c:ptCount val="1"/>
                <c:pt idx="0">
                  <c:v>Janeiro</c:v>
                </c:pt>
              </c:strCache>
            </c:strRef>
          </c:tx>
          <c:explosion val="16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61D-400F-9753-EAB05DDF2D2F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delete val="1"/>
          </c:dLbls>
          <c:cat>
            <c:strRef>
              <c:f>Planilha4!$A$2:$A$6</c:f>
              <c:strCache>
                <c:ptCount val="5"/>
                <c:pt idx="0">
                  <c:v>Short </c:v>
                </c:pt>
                <c:pt idx="1">
                  <c:v>Calça</c:v>
                </c:pt>
                <c:pt idx="2">
                  <c:v>Camiseta</c:v>
                </c:pt>
                <c:pt idx="3">
                  <c:v>Short </c:v>
                </c:pt>
                <c:pt idx="4">
                  <c:v>Calça</c:v>
                </c:pt>
              </c:strCache>
            </c:strRef>
          </c:cat>
          <c:val>
            <c:numRef>
              <c:f>Planilha4!$B$2:$B$6</c:f>
              <c:numCache>
                <c:formatCode>_("R$"* #,##0.00_);_("R$"* \(#,##0.00\);_("R$"* "-"??_);_(@_)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D-400F-9753-EAB05DDF2D2F}"/>
            </c:ext>
          </c:extLst>
        </c:ser>
        <c:ser>
          <c:idx val="1"/>
          <c:order val="1"/>
          <c:tx>
            <c:strRef>
              <c:f>Planilha4!$C$1</c:f>
              <c:strCache>
                <c:ptCount val="1"/>
                <c:pt idx="0">
                  <c:v>Fevereiro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Planilha4!$A$2:$A$6</c:f>
              <c:strCache>
                <c:ptCount val="5"/>
                <c:pt idx="0">
                  <c:v>Short </c:v>
                </c:pt>
                <c:pt idx="1">
                  <c:v>Calça</c:v>
                </c:pt>
                <c:pt idx="2">
                  <c:v>Camiseta</c:v>
                </c:pt>
                <c:pt idx="3">
                  <c:v>Short </c:v>
                </c:pt>
                <c:pt idx="4">
                  <c:v>Calça</c:v>
                </c:pt>
              </c:strCache>
            </c:strRef>
          </c:cat>
          <c:val>
            <c:numRef>
              <c:f>Planilha4!$C$2:$C$6</c:f>
              <c:numCache>
                <c:formatCode>_("R$"* #,##0.00_);_("R$"* \(#,##0.00\);_("R$"* "-"??_);_(@_)</c:formatCode>
                <c:ptCount val="5"/>
                <c:pt idx="0">
                  <c:v>60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1D-400F-9753-EAB05DDF2D2F}"/>
            </c:ext>
          </c:extLst>
        </c:ser>
        <c:ser>
          <c:idx val="2"/>
          <c:order val="2"/>
          <c:tx>
            <c:strRef>
              <c:f>Planilha4!$D$1</c:f>
              <c:strCache>
                <c:ptCount val="1"/>
                <c:pt idx="0">
                  <c:v>Março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Planilha4!$A$2:$A$6</c:f>
              <c:strCache>
                <c:ptCount val="5"/>
                <c:pt idx="0">
                  <c:v>Short </c:v>
                </c:pt>
                <c:pt idx="1">
                  <c:v>Calça</c:v>
                </c:pt>
                <c:pt idx="2">
                  <c:v>Camiseta</c:v>
                </c:pt>
                <c:pt idx="3">
                  <c:v>Short </c:v>
                </c:pt>
                <c:pt idx="4">
                  <c:v>Calça</c:v>
                </c:pt>
              </c:strCache>
            </c:strRef>
          </c:cat>
          <c:val>
            <c:numRef>
              <c:f>Planilha4!$D$2:$D$6</c:f>
              <c:numCache>
                <c:formatCode>_("R$"* #,##0.00_);_("R$"* \(#,##0.00\);_("R$"* "-"??_);_(@_)</c:formatCode>
                <c:ptCount val="5"/>
                <c:pt idx="0">
                  <c:v>45</c:v>
                </c:pt>
                <c:pt idx="1">
                  <c:v>87</c:v>
                </c:pt>
                <c:pt idx="2">
                  <c:v>54</c:v>
                </c:pt>
                <c:pt idx="3">
                  <c:v>32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1D-400F-9753-EAB05DDF2D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564799</xdr:colOff>
      <xdr:row>0</xdr:row>
      <xdr:rowOff>0</xdr:rowOff>
    </xdr:from>
    <xdr:to>
      <xdr:col>18</xdr:col>
      <xdr:colOff>259273</xdr:colOff>
      <xdr:row>14</xdr:row>
      <xdr:rowOff>175647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36A658-F738-E39E-1387-C4C7E1941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280987</xdr:colOff>
      <xdr:row>0</xdr:row>
      <xdr:rowOff>88106</xdr:rowOff>
    </xdr:from>
    <xdr:to>
      <xdr:col>11</xdr:col>
      <xdr:colOff>585787</xdr:colOff>
      <xdr:row>15</xdr:row>
      <xdr:rowOff>116681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4819CB-3244-D66B-C4FE-8FA1C4D22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415E-BF32-448F-B28A-7A212739BC97}">
  <dimension ref="A1:G4"/>
  <sheetViews>
    <sheetView topLeftCell="F1" zoomScale="265" zoomScaleNormal="265" workbookViewId="0">
      <selection activeCell="G2" sqref="G2"/>
    </sheetView>
  </sheetViews>
  <sheetFormatPr defaultRowHeight="14.4" x14ac:dyDescent="0.3"/>
  <cols>
    <col min="1" max="1" width="16.88671875" customWidth="1"/>
    <col min="2" max="2" width="10.77734375" customWidth="1"/>
    <col min="7" max="7" width="14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</row>
    <row r="2" spans="1:7" x14ac:dyDescent="0.3">
      <c r="A2" t="s">
        <v>7</v>
      </c>
      <c r="B2" s="2">
        <v>8</v>
      </c>
      <c r="C2" s="2">
        <v>10</v>
      </c>
      <c r="D2" s="2">
        <v>7</v>
      </c>
      <c r="E2" s="2">
        <v>8</v>
      </c>
      <c r="F2" s="3">
        <f>AVERAGE(B2:E2)</f>
        <v>8.25</v>
      </c>
      <c r="G2" t="str">
        <f>IF(F2&gt;=7,"Aprovado","Reprovado")</f>
        <v>Aprovado</v>
      </c>
    </row>
    <row r="3" spans="1:7" x14ac:dyDescent="0.3">
      <c r="A3" t="s">
        <v>8</v>
      </c>
      <c r="B3" s="2">
        <v>8</v>
      </c>
      <c r="C3" s="2">
        <v>7</v>
      </c>
      <c r="D3" s="2">
        <v>5</v>
      </c>
      <c r="E3" s="2">
        <v>9</v>
      </c>
      <c r="F3" s="3">
        <f t="shared" ref="F3:F4" si="0">AVERAGE(B3:E3)</f>
        <v>7.25</v>
      </c>
      <c r="G3" t="str">
        <f t="shared" ref="G3:G4" si="1">IF(F3&gt;=7,"Aprovado","Reprovado")</f>
        <v>Aprovado</v>
      </c>
    </row>
    <row r="4" spans="1:7" x14ac:dyDescent="0.3">
      <c r="A4" t="s">
        <v>9</v>
      </c>
      <c r="B4" s="2">
        <v>6</v>
      </c>
      <c r="C4" s="2">
        <v>4</v>
      </c>
      <c r="D4" s="2">
        <v>4</v>
      </c>
      <c r="E4" s="2">
        <v>9</v>
      </c>
      <c r="F4" s="3">
        <f t="shared" si="0"/>
        <v>5.75</v>
      </c>
      <c r="G4" t="str">
        <f t="shared" si="1"/>
        <v>Reprovado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2F26-1CB6-4734-8E43-EFCEFE19F718}">
  <dimension ref="A1:E11"/>
  <sheetViews>
    <sheetView zoomScale="250" zoomScaleNormal="250" workbookViewId="0">
      <selection activeCell="A2" sqref="A2:A6"/>
    </sheetView>
  </sheetViews>
  <sheetFormatPr defaultRowHeight="14.4" x14ac:dyDescent="0.3"/>
  <cols>
    <col min="3" max="3" width="12" customWidth="1"/>
    <col min="5" max="5" width="15.21875" customWidth="1"/>
  </cols>
  <sheetData>
    <row r="1" spans="1:5" x14ac:dyDescent="0.3">
      <c r="A1" s="7" t="s">
        <v>10</v>
      </c>
      <c r="B1" s="7" t="s">
        <v>11</v>
      </c>
      <c r="C1" s="7" t="s">
        <v>12</v>
      </c>
      <c r="E1" s="7" t="s">
        <v>16</v>
      </c>
    </row>
    <row r="2" spans="1:5" x14ac:dyDescent="0.3">
      <c r="A2" t="s">
        <v>13</v>
      </c>
      <c r="B2" t="s">
        <v>16</v>
      </c>
      <c r="C2" s="6">
        <v>250</v>
      </c>
      <c r="E2" s="6">
        <f>SUMIF(B2:B10,E1,C2:C10)</f>
        <v>1200</v>
      </c>
    </row>
    <row r="3" spans="1:5" x14ac:dyDescent="0.3">
      <c r="A3" t="s">
        <v>14</v>
      </c>
      <c r="B3" t="s">
        <v>17</v>
      </c>
      <c r="C3" s="6">
        <v>300</v>
      </c>
    </row>
    <row r="4" spans="1:5" x14ac:dyDescent="0.3">
      <c r="A4" t="s">
        <v>15</v>
      </c>
      <c r="B4" t="s">
        <v>18</v>
      </c>
      <c r="C4" s="6">
        <v>350</v>
      </c>
    </row>
    <row r="5" spans="1:5" x14ac:dyDescent="0.3">
      <c r="A5" t="s">
        <v>13</v>
      </c>
      <c r="B5" t="s">
        <v>16</v>
      </c>
      <c r="C5" s="6">
        <v>400</v>
      </c>
    </row>
    <row r="6" spans="1:5" x14ac:dyDescent="0.3">
      <c r="A6" t="s">
        <v>14</v>
      </c>
      <c r="B6" t="s">
        <v>17</v>
      </c>
      <c r="C6" s="6">
        <v>450</v>
      </c>
    </row>
    <row r="7" spans="1:5" x14ac:dyDescent="0.3">
      <c r="A7" t="s">
        <v>15</v>
      </c>
      <c r="B7" t="s">
        <v>18</v>
      </c>
      <c r="C7" s="6">
        <v>500</v>
      </c>
    </row>
    <row r="8" spans="1:5" x14ac:dyDescent="0.3">
      <c r="A8" t="s">
        <v>13</v>
      </c>
      <c r="B8" t="s">
        <v>16</v>
      </c>
      <c r="C8" s="6">
        <v>550</v>
      </c>
    </row>
    <row r="9" spans="1:5" x14ac:dyDescent="0.3">
      <c r="A9" t="s">
        <v>14</v>
      </c>
      <c r="B9" t="s">
        <v>17</v>
      </c>
      <c r="C9" s="6">
        <v>600</v>
      </c>
    </row>
    <row r="10" spans="1:5" x14ac:dyDescent="0.3">
      <c r="A10" t="s">
        <v>15</v>
      </c>
      <c r="B10" t="s">
        <v>18</v>
      </c>
      <c r="C10" s="6">
        <v>650</v>
      </c>
    </row>
    <row r="11" spans="1:5" x14ac:dyDescent="0.3">
      <c r="C11" s="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6CAA-39D1-4428-B09D-5D9DF3711C96}">
  <dimension ref="A1:D6"/>
  <sheetViews>
    <sheetView zoomScale="280" zoomScaleNormal="280" workbookViewId="0">
      <selection sqref="A1:A6"/>
    </sheetView>
  </sheetViews>
  <sheetFormatPr defaultRowHeight="14.4" x14ac:dyDescent="0.3"/>
  <cols>
    <col min="1" max="1" width="11.6640625" customWidth="1"/>
    <col min="2" max="2" width="12.6640625" customWidth="1"/>
    <col min="3" max="4" width="16" bestFit="1" customWidth="1"/>
  </cols>
  <sheetData>
    <row r="1" spans="1:4" x14ac:dyDescent="0.3">
      <c r="A1" s="5" t="s">
        <v>10</v>
      </c>
      <c r="B1" s="7" t="s">
        <v>20</v>
      </c>
      <c r="C1" s="5" t="s">
        <v>19</v>
      </c>
      <c r="D1" t="s">
        <v>21</v>
      </c>
    </row>
    <row r="2" spans="1:4" x14ac:dyDescent="0.3">
      <c r="A2" t="s">
        <v>13</v>
      </c>
      <c r="B2" s="6">
        <v>300</v>
      </c>
      <c r="C2" s="6">
        <f>B2*10%</f>
        <v>30</v>
      </c>
      <c r="D2" s="6">
        <f>B2-C2</f>
        <v>270</v>
      </c>
    </row>
    <row r="3" spans="1:4" x14ac:dyDescent="0.3">
      <c r="A3" t="s">
        <v>14</v>
      </c>
      <c r="B3" s="6">
        <v>400</v>
      </c>
      <c r="C3" s="6">
        <f t="shared" ref="C3:C6" si="0">B3*10%</f>
        <v>40</v>
      </c>
      <c r="D3" s="6">
        <f t="shared" ref="D3:D6" si="1">B3-C3</f>
        <v>360</v>
      </c>
    </row>
    <row r="4" spans="1:4" x14ac:dyDescent="0.3">
      <c r="A4" t="s">
        <v>15</v>
      </c>
      <c r="B4" s="6">
        <v>500</v>
      </c>
      <c r="C4" s="6">
        <f t="shared" si="0"/>
        <v>50</v>
      </c>
      <c r="D4" s="6">
        <f t="shared" si="1"/>
        <v>450</v>
      </c>
    </row>
    <row r="5" spans="1:4" x14ac:dyDescent="0.3">
      <c r="A5" t="s">
        <v>13</v>
      </c>
      <c r="B5" s="6">
        <v>600</v>
      </c>
      <c r="C5" s="6">
        <f t="shared" si="0"/>
        <v>60</v>
      </c>
      <c r="D5" s="6">
        <f t="shared" si="1"/>
        <v>540</v>
      </c>
    </row>
    <row r="6" spans="1:4" x14ac:dyDescent="0.3">
      <c r="A6" t="s">
        <v>14</v>
      </c>
      <c r="B6" s="6">
        <v>700</v>
      </c>
      <c r="C6" s="6">
        <f t="shared" si="0"/>
        <v>70</v>
      </c>
      <c r="D6" s="6">
        <f t="shared" si="1"/>
        <v>630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7049-A135-4CB8-BA0B-15CBD7596707}">
  <dimension ref="A1:D6"/>
  <sheetViews>
    <sheetView tabSelected="1" zoomScale="160" zoomScaleNormal="160" workbookViewId="0">
      <selection sqref="A1:D6"/>
    </sheetView>
  </sheetViews>
  <sheetFormatPr defaultRowHeight="14.4" x14ac:dyDescent="0.3"/>
  <cols>
    <col min="1" max="1" width="11.109375" customWidth="1"/>
    <col min="2" max="2" width="12.21875" customWidth="1"/>
    <col min="3" max="3" width="13.44140625" customWidth="1"/>
    <col min="4" max="4" width="13.5546875" customWidth="1"/>
  </cols>
  <sheetData>
    <row r="1" spans="1:4" x14ac:dyDescent="0.3">
      <c r="A1" s="5" t="s">
        <v>10</v>
      </c>
      <c r="B1" s="5" t="s">
        <v>22</v>
      </c>
      <c r="C1" s="5" t="s">
        <v>23</v>
      </c>
      <c r="D1" s="5" t="s">
        <v>24</v>
      </c>
    </row>
    <row r="2" spans="1:4" x14ac:dyDescent="0.3">
      <c r="A2" t="s">
        <v>13</v>
      </c>
      <c r="B2" s="6">
        <v>10</v>
      </c>
      <c r="C2" s="6">
        <v>60</v>
      </c>
      <c r="D2" s="6">
        <v>45</v>
      </c>
    </row>
    <row r="3" spans="1:4" x14ac:dyDescent="0.3">
      <c r="A3" t="s">
        <v>14</v>
      </c>
      <c r="B3" s="6">
        <v>20</v>
      </c>
      <c r="C3" s="6">
        <v>20</v>
      </c>
      <c r="D3" s="6">
        <v>87</v>
      </c>
    </row>
    <row r="4" spans="1:4" x14ac:dyDescent="0.3">
      <c r="A4" t="s">
        <v>15</v>
      </c>
      <c r="B4" s="6">
        <v>30</v>
      </c>
      <c r="C4" s="6">
        <v>30</v>
      </c>
      <c r="D4" s="6">
        <v>54</v>
      </c>
    </row>
    <row r="5" spans="1:4" x14ac:dyDescent="0.3">
      <c r="A5" t="s">
        <v>13</v>
      </c>
      <c r="B5" s="6">
        <v>40</v>
      </c>
      <c r="C5" s="6">
        <v>40</v>
      </c>
      <c r="D5" s="6">
        <v>32</v>
      </c>
    </row>
    <row r="6" spans="1:4" x14ac:dyDescent="0.3">
      <c r="A6" t="s">
        <v>14</v>
      </c>
      <c r="B6" s="6">
        <v>50</v>
      </c>
      <c r="C6" s="6">
        <v>50</v>
      </c>
      <c r="D6" s="6">
        <v>47</v>
      </c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Formula SE</vt:lpstr>
      <vt:lpstr>Formula somase</vt:lpstr>
      <vt:lpstr>Porcentagem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CVT Santa Quitéria</dc:creator>
  <cp:lastModifiedBy>CVT Santa Quitéria</cp:lastModifiedBy>
  <dcterms:created xsi:type="dcterms:W3CDTF">2025-11-14T21:43:16Z</dcterms:created>
  <dcterms:modified xsi:type="dcterms:W3CDTF">2025-11-14T23:02:49Z</dcterms:modified>
</cp:coreProperties>
</file>